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londonoosorio/Desktop/Doctorado_CEU/HUMAN_QCs/"/>
    </mc:Choice>
  </mc:AlternateContent>
  <xr:revisionPtr revIDLastSave="0" documentId="13_ncr:1_{78867CC8-5B71-F043-B56B-5130EF578098}" xr6:coauthVersionLast="47" xr6:coauthVersionMax="47" xr10:uidLastSave="{00000000-0000-0000-0000-000000000000}"/>
  <bookViews>
    <workbookView xWindow="1760" yWindow="760" windowWidth="21360" windowHeight="16780" xr2:uid="{9E5E902E-872A-BE45-A1A9-54571E2C3B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9" i="1"/>
  <c r="E3" i="1" l="1"/>
  <c r="E5" i="1"/>
  <c r="E6" i="1"/>
  <c r="E7" i="1"/>
  <c r="E8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<sst xmlns="http://schemas.openxmlformats.org/spreadsheetml/2006/main" count="57" uniqueCount="36">
  <si>
    <t>Endogenos</t>
  </si>
  <si>
    <t>CAR (5:0)</t>
  </si>
  <si>
    <t>LysoPC</t>
  </si>
  <si>
    <t>deuterated-LysoPC (18:1(d7))</t>
  </si>
  <si>
    <t>deuterated-LysoPE (18:1(d7))</t>
  </si>
  <si>
    <t>LPC (20:0)</t>
  </si>
  <si>
    <t>SM</t>
  </si>
  <si>
    <t>deuterated-PG (15:0/18:1(d7))</t>
  </si>
  <si>
    <t>deuterated-SM (d18:1/18:1(d9))</t>
  </si>
  <si>
    <t>PC</t>
  </si>
  <si>
    <t>deuterated-PC (15:0/18:1(d7))</t>
  </si>
  <si>
    <t>deuterated-PE (15:0/18:1(d7))</t>
  </si>
  <si>
    <t>deuterated-DG (15:0/18:1(d7))</t>
  </si>
  <si>
    <t>HexCer</t>
  </si>
  <si>
    <t>TG</t>
  </si>
  <si>
    <t>deuterated-TAG (15:0/18:1(d7))/15:0)</t>
  </si>
  <si>
    <t>deuterated-Chol Ester (18:1(d7))</t>
  </si>
  <si>
    <t>type</t>
  </si>
  <si>
    <t>lipid_name</t>
  </si>
  <si>
    <t>RT (min)</t>
  </si>
  <si>
    <t>RT</t>
  </si>
  <si>
    <t>Deuterated</t>
  </si>
  <si>
    <t>mz</t>
  </si>
  <si>
    <t>SM1</t>
  </si>
  <si>
    <t>CAR</t>
  </si>
  <si>
    <t>dLysoPC</t>
  </si>
  <si>
    <t>dLysoPE</t>
  </si>
  <si>
    <t>LPC</t>
  </si>
  <si>
    <t>dPG</t>
  </si>
  <si>
    <t>dSM</t>
  </si>
  <si>
    <t>dPC</t>
  </si>
  <si>
    <t>dPE</t>
  </si>
  <si>
    <t>dDG</t>
  </si>
  <si>
    <t>dTG</t>
  </si>
  <si>
    <t>dCE</t>
  </si>
  <si>
    <t>short_name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</si>
</sst>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4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69E1-DE54-004B-BA8F-573A6CD4FC04}">
  <dimension ref="A1:I18"/>
  <sheetViews>
    <sheetView tabSelected="1" workbookViewId="0">
      <selection activeCell="F1" sqref="F1"/>
    </sheetView>
  </sheetViews>
  <sheetFormatPr baseColWidth="10" defaultRowHeight="16" x14ac:dyDescent="0.2"/>
  <cols>
    <col min="2" max="2" width="30.6640625" bestFit="1" customWidth="1"/>
  </cols>
  <sheetData>
    <row r="1" spans="1:9" x14ac:dyDescent="0.2">
      <c r="A1" t="s">
        <v>17</v>
      </c>
      <c r="B1" s="1" t="s">
        <v>18</v>
      </c>
      <c r="C1" s="1" t="s">
        <v>22</v>
      </c>
      <c r="D1" s="2" t="s">
        <v>19</v>
      </c>
      <c r="E1" t="s">
        <v>20</v>
      </c>
      <c r="F1" t="s">
        <v>35</v>
      </c>
    </row>
    <row r="2" spans="1:9" x14ac:dyDescent="0.2">
      <c r="A2" s="3" t="s">
        <v>0</v>
      </c>
      <c r="B2" s="4" t="s">
        <v>1</v>
      </c>
      <c r="C2" s="5">
        <v>246.17</v>
      </c>
      <c r="D2" s="6">
        <v>0.8</v>
      </c>
      <c r="E2">
        <f>D2*60</f>
        <v>48</v>
      </c>
      <c r="F2" t="s">
        <v>24</v>
      </c>
      <c r="H2" s="8"/>
      <c r="I2" s="8"/>
    </row>
    <row r="3" spans="1:9" x14ac:dyDescent="0.2">
      <c r="A3" s="3" t="s">
        <v>0</v>
      </c>
      <c r="B3" s="4" t="s">
        <v>2</v>
      </c>
      <c r="C3" s="5">
        <v>496.33980000000003</v>
      </c>
      <c r="D3" s="7">
        <v>2.56</v>
      </c>
      <c r="E3">
        <f t="shared" ref="E3:E18" si="0">D3*60</f>
        <v>153.6</v>
      </c>
      <c r="F3" s="4" t="s">
        <v>2</v>
      </c>
      <c r="H3" s="8"/>
      <c r="I3" s="8"/>
    </row>
    <row r="4" spans="1:9" x14ac:dyDescent="0.2">
      <c r="A4" t="s">
        <v>21</v>
      </c>
      <c r="B4" s="1" t="s">
        <v>3</v>
      </c>
      <c r="C4" s="8">
        <v>529.39940000000001</v>
      </c>
      <c r="D4" s="9">
        <v>2.7429999999999999</v>
      </c>
      <c r="E4">
        <f t="shared" si="0"/>
        <v>164.57999999999998</v>
      </c>
      <c r="F4" t="s">
        <v>25</v>
      </c>
      <c r="H4" s="8"/>
      <c r="I4" s="8"/>
    </row>
    <row r="5" spans="1:9" x14ac:dyDescent="0.2">
      <c r="A5" t="s">
        <v>21</v>
      </c>
      <c r="B5" s="1" t="s">
        <v>4</v>
      </c>
      <c r="C5" s="8">
        <v>487.35239999999999</v>
      </c>
      <c r="D5" s="9">
        <v>2.8479999999999999</v>
      </c>
      <c r="E5">
        <f t="shared" si="0"/>
        <v>170.88</v>
      </c>
      <c r="F5" t="s">
        <v>26</v>
      </c>
      <c r="H5" s="8"/>
      <c r="I5" s="8"/>
    </row>
    <row r="6" spans="1:9" x14ac:dyDescent="0.2">
      <c r="A6" s="4" t="s">
        <v>0</v>
      </c>
      <c r="B6" s="4" t="s">
        <v>5</v>
      </c>
      <c r="C6" s="5">
        <v>552.40239999999994</v>
      </c>
      <c r="D6" s="7">
        <v>4.24</v>
      </c>
      <c r="E6">
        <f t="shared" si="0"/>
        <v>254.4</v>
      </c>
      <c r="F6" t="s">
        <v>27</v>
      </c>
      <c r="H6" s="8"/>
      <c r="I6" s="8"/>
    </row>
    <row r="7" spans="1:9" x14ac:dyDescent="0.2">
      <c r="A7" s="4" t="s">
        <v>0</v>
      </c>
      <c r="B7" s="4" t="s">
        <v>6</v>
      </c>
      <c r="C7" s="5">
        <v>701.55920000000003</v>
      </c>
      <c r="D7" s="7">
        <v>6.19</v>
      </c>
      <c r="E7">
        <f t="shared" si="0"/>
        <v>371.40000000000003</v>
      </c>
      <c r="F7" t="s">
        <v>6</v>
      </c>
      <c r="H7" s="8"/>
      <c r="I7" s="8"/>
    </row>
    <row r="8" spans="1:9" x14ac:dyDescent="0.2">
      <c r="A8" t="s">
        <v>21</v>
      </c>
      <c r="B8" s="1" t="s">
        <v>7</v>
      </c>
      <c r="C8" s="8">
        <v>759.58749999999998</v>
      </c>
      <c r="D8" s="9">
        <v>6.46</v>
      </c>
      <c r="E8">
        <f t="shared" si="0"/>
        <v>387.6</v>
      </c>
      <c r="F8" t="s">
        <v>28</v>
      </c>
      <c r="H8" s="8"/>
      <c r="I8" s="8"/>
    </row>
    <row r="9" spans="1:9" x14ac:dyDescent="0.2">
      <c r="A9" t="s">
        <v>21</v>
      </c>
      <c r="B9" s="1" t="s">
        <v>8</v>
      </c>
      <c r="C9" s="8">
        <v>738.64700000000005</v>
      </c>
      <c r="D9" s="9">
        <v>7.2709999999999999</v>
      </c>
      <c r="E9">
        <f t="shared" si="0"/>
        <v>436.26</v>
      </c>
      <c r="F9" t="s">
        <v>29</v>
      </c>
      <c r="H9" s="8"/>
      <c r="I9" s="8"/>
    </row>
    <row r="10" spans="1:9" x14ac:dyDescent="0.2">
      <c r="A10" s="3" t="s">
        <v>0</v>
      </c>
      <c r="B10" s="4" t="s">
        <v>9</v>
      </c>
      <c r="C10" s="5">
        <v>758.56939999999997</v>
      </c>
      <c r="D10" s="7">
        <v>7.76</v>
      </c>
      <c r="E10">
        <f t="shared" si="0"/>
        <v>465.59999999999997</v>
      </c>
      <c r="F10" t="s">
        <v>9</v>
      </c>
      <c r="H10" s="8"/>
      <c r="I10" s="8"/>
    </row>
    <row r="11" spans="1:9" x14ac:dyDescent="0.2">
      <c r="A11" t="s">
        <v>21</v>
      </c>
      <c r="B11" s="1" t="s">
        <v>10</v>
      </c>
      <c r="C11" s="8">
        <v>753.61339999999996</v>
      </c>
      <c r="D11" s="9">
        <v>8.1709999999999994</v>
      </c>
      <c r="E11">
        <f t="shared" si="0"/>
        <v>490.26</v>
      </c>
      <c r="F11" t="s">
        <v>30</v>
      </c>
      <c r="H11" s="8"/>
      <c r="I11" s="8"/>
    </row>
    <row r="12" spans="1:9" x14ac:dyDescent="0.2">
      <c r="A12" t="s">
        <v>21</v>
      </c>
      <c r="B12" s="1" t="s">
        <v>11</v>
      </c>
      <c r="C12" s="8">
        <v>711.56640000000004</v>
      </c>
      <c r="D12" s="9">
        <v>8.5030000000000001</v>
      </c>
      <c r="E12">
        <f t="shared" si="0"/>
        <v>510.18</v>
      </c>
      <c r="F12" t="s">
        <v>31</v>
      </c>
      <c r="H12" s="8"/>
      <c r="I12" s="8"/>
    </row>
    <row r="13" spans="1:9" x14ac:dyDescent="0.2">
      <c r="A13" s="3" t="s">
        <v>0</v>
      </c>
      <c r="B13" s="4" t="s">
        <v>23</v>
      </c>
      <c r="C13" s="8">
        <v>759.63879999999995</v>
      </c>
      <c r="D13" s="10">
        <v>11.43</v>
      </c>
      <c r="E13">
        <f t="shared" si="0"/>
        <v>685.8</v>
      </c>
      <c r="F13" t="s">
        <v>23</v>
      </c>
      <c r="H13" s="8"/>
      <c r="I13" s="8"/>
    </row>
    <row r="14" spans="1:9" x14ac:dyDescent="0.2">
      <c r="A14" t="s">
        <v>21</v>
      </c>
      <c r="B14" s="1" t="s">
        <v>12</v>
      </c>
      <c r="C14" s="8">
        <v>605.58439999999996</v>
      </c>
      <c r="D14" s="9">
        <v>11.68</v>
      </c>
      <c r="E14">
        <f t="shared" si="0"/>
        <v>700.8</v>
      </c>
      <c r="F14" t="s">
        <v>32</v>
      </c>
      <c r="H14" s="8"/>
      <c r="I14" s="8"/>
    </row>
    <row r="15" spans="1:9" x14ac:dyDescent="0.2">
      <c r="A15" s="3" t="s">
        <v>0</v>
      </c>
      <c r="B15" s="4" t="s">
        <v>13</v>
      </c>
      <c r="C15" s="5">
        <v>812.69740000000002</v>
      </c>
      <c r="D15" s="7">
        <v>12.25</v>
      </c>
      <c r="E15">
        <f t="shared" si="0"/>
        <v>735</v>
      </c>
      <c r="F15" t="s">
        <v>13</v>
      </c>
      <c r="H15" s="8"/>
      <c r="I15" s="8"/>
    </row>
    <row r="16" spans="1:9" x14ac:dyDescent="0.2">
      <c r="A16" s="3" t="s">
        <v>0</v>
      </c>
      <c r="B16" s="4" t="s">
        <v>14</v>
      </c>
      <c r="C16" s="5">
        <v>900.80150000000003</v>
      </c>
      <c r="D16" s="7">
        <v>13.97</v>
      </c>
      <c r="E16">
        <f t="shared" si="0"/>
        <v>838.2</v>
      </c>
      <c r="F16" t="s">
        <v>14</v>
      </c>
      <c r="H16" s="8"/>
      <c r="I16" s="8"/>
    </row>
    <row r="17" spans="1:9" x14ac:dyDescent="0.2">
      <c r="A17" t="s">
        <v>21</v>
      </c>
      <c r="B17" s="1" t="s">
        <v>15</v>
      </c>
      <c r="C17" s="8">
        <v>829.79849999999999</v>
      </c>
      <c r="D17" s="9">
        <v>13.997999999999999</v>
      </c>
      <c r="E17">
        <f t="shared" si="0"/>
        <v>839.88</v>
      </c>
      <c r="F17" t="s">
        <v>33</v>
      </c>
      <c r="H17" s="8"/>
      <c r="I17" s="8"/>
    </row>
    <row r="18" spans="1:9" x14ac:dyDescent="0.2">
      <c r="A18" t="s">
        <v>21</v>
      </c>
      <c r="B18" s="1" t="s">
        <v>16</v>
      </c>
      <c r="C18" s="8">
        <v>675.67790000000002</v>
      </c>
      <c r="D18" s="9">
        <v>15.46</v>
      </c>
      <c r="E18">
        <f t="shared" si="0"/>
        <v>927.6</v>
      </c>
      <c r="F18" t="s">
        <v>34</v>
      </c>
      <c r="H18" s="8"/>
      <c r="I1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Londono Osorio</dc:creator>
  <cp:lastModifiedBy>Sara Londono Osorio</cp:lastModifiedBy>
  <dcterms:created xsi:type="dcterms:W3CDTF">2025-09-04T13:08:57Z</dcterms:created>
  <dcterms:modified xsi:type="dcterms:W3CDTF">2025-09-12T14:22:53Z</dcterms:modified>
</cp:coreProperties>
</file>