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londonoosorio/Documents/GitHub/CEMBIO-EURAC/applications/pilot_study/positive/"/>
    </mc:Choice>
  </mc:AlternateContent>
  <xr:revisionPtr revIDLastSave="0" documentId="13_ncr:1_{65ED97DA-8F68-4348-A226-B4792989AA95}" xr6:coauthVersionLast="47" xr6:coauthVersionMax="47" xr10:uidLastSave="{00000000-0000-0000-0000-000000000000}"/>
  <bookViews>
    <workbookView xWindow="0" yWindow="660" windowWidth="14720" windowHeight="17400" xr2:uid="{9E5E902E-872A-BE45-A1A9-54571E2C3B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9" i="1"/>
  <c r="E13" i="1"/>
  <c r="E3" i="1" l="1"/>
  <c r="E20" i="1"/>
  <c r="E4" i="1"/>
  <c r="E5" i="1"/>
  <c r="E12" i="1"/>
  <c r="E6" i="1"/>
  <c r="E14" i="1"/>
  <c r="E15" i="1"/>
  <c r="E7" i="1"/>
  <c r="E16" i="1"/>
  <c r="E8" i="1"/>
  <c r="E9" i="1"/>
  <c r="E17" i="1"/>
  <c r="E18" i="1"/>
  <c r="E2" i="1"/>
</calcChain>
</file>

<file path=xl/sharedStrings.xml><?xml version="1.0" encoding="utf-8"?>
<sst xmlns="http://schemas.openxmlformats.org/spreadsheetml/2006/main" count="66" uniqueCount="49">
  <si>
    <t>CAR (5:0)</t>
  </si>
  <si>
    <t>LPC (20:0)</t>
  </si>
  <si>
    <t>SM</t>
  </si>
  <si>
    <t>PC</t>
  </si>
  <si>
    <t>HexCer</t>
  </si>
  <si>
    <t>TG</t>
  </si>
  <si>
    <t>type</t>
  </si>
  <si>
    <t>lipid_name</t>
  </si>
  <si>
    <t>RT (min)</t>
  </si>
  <si>
    <t>RT</t>
  </si>
  <si>
    <t>Deuterated</t>
  </si>
  <si>
    <t>mz</t>
  </si>
  <si>
    <t>CAR</t>
  </si>
  <si>
    <t>LPC</t>
  </si>
  <si>
    <t>dPG</t>
  </si>
  <si>
    <t>dSM</t>
  </si>
  <si>
    <t>dPC</t>
  </si>
  <si>
    <t>dPE</t>
  </si>
  <si>
    <t>dDG</t>
  </si>
  <si>
    <t>dTG</t>
  </si>
  <si>
    <t>dCE</t>
  </si>
  <si>
    <t>short_name</t>
  </si>
  <si>
    <t>TG(52:0)</t>
  </si>
  <si>
    <t>Cer(d40:2)</t>
  </si>
  <si>
    <t>Cer</t>
  </si>
  <si>
    <t>ISTD</t>
  </si>
  <si>
    <t>C17 Sphinganine</t>
  </si>
  <si>
    <t>Sphinganine</t>
  </si>
  <si>
    <t>TG(54:4)</t>
  </si>
  <si>
    <t>LPC(0:0/16:0)</t>
  </si>
  <si>
    <t>SM(d18:2/16:0)</t>
  </si>
  <si>
    <t>PC(16:0/18:2)</t>
  </si>
  <si>
    <t>SM(d18:1/20:0)</t>
  </si>
  <si>
    <t>HexCer(d18:1/24:0)</t>
  </si>
  <si>
    <t>LysoPC (18:1(d7))</t>
  </si>
  <si>
    <t>LysoPE (18:1(d7))</t>
  </si>
  <si>
    <t>PG (15:0/18:1(d7))</t>
  </si>
  <si>
    <t>SM (d18:1/18:1(d9))</t>
  </si>
  <si>
    <t>PC (15:0/18:1(d7))</t>
  </si>
  <si>
    <t>PE (15:0/18:1(d7))</t>
  </si>
  <si>
    <t>DG (15:0/18:1(d7))</t>
  </si>
  <si>
    <t>TG(15:0/18:1(d7))/15:0)</t>
  </si>
  <si>
    <t>Chol Ester (18:1(d7))</t>
  </si>
  <si>
    <t>Endogenous</t>
  </si>
  <si>
    <t>SM_1</t>
  </si>
  <si>
    <t>dLPC</t>
  </si>
  <si>
    <t>dLPE</t>
  </si>
  <si>
    <t>TG_1</t>
  </si>
  <si>
    <t>LPC_1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</si>
</sst>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theme="1"/>
      <name val="Aptos Narrow"/>
      <scheme val="minor"/>
    </font>
    <font>
      <sz val="11"/>
      <color theme="9" tint="-0.499984740745262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 vertical="center"/>
    </xf>
    <xf numFmtId="164" fontId="2" fillId="0" borderId="0" xfId="0" applyNumberFormat="1" applyFont="1"/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164" fontId="3" fillId="0" borderId="0" xfId="0" applyNumberFormat="1" applyFont="1" applyAlignment="1">
      <alignment horizontal="center"/>
    </xf>
    <xf numFmtId="2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D69E1-DE54-004B-BA8F-573A6CD4FC04}">
  <dimension ref="A1:I21"/>
  <sheetViews>
    <sheetView tabSelected="1" topLeftCell="B1" zoomScale="139" workbookViewId="0">
      <selection activeCell="G13" sqref="G13"/>
    </sheetView>
  </sheetViews>
  <sheetFormatPr baseColWidth="10" defaultRowHeight="15" x14ac:dyDescent="0.2"/>
  <cols>
    <col min="1" max="1" width="10.83203125" style="3"/>
    <col min="2" max="2" width="30.6640625" style="3" bestFit="1" customWidth="1"/>
    <col min="3" max="6" width="10.83203125" style="9"/>
    <col min="7" max="16384" width="10.83203125" style="3"/>
  </cols>
  <sheetData>
    <row r="1" spans="1:9" x14ac:dyDescent="0.2">
      <c r="A1" s="1" t="s">
        <v>6</v>
      </c>
      <c r="B1" s="1" t="s">
        <v>7</v>
      </c>
      <c r="C1" s="7" t="s">
        <v>11</v>
      </c>
      <c r="D1" s="2" t="s">
        <v>8</v>
      </c>
      <c r="E1" s="7" t="s">
        <v>9</v>
      </c>
      <c r="F1" s="7" t="s">
        <v>21</v>
      </c>
    </row>
    <row r="2" spans="1:9" x14ac:dyDescent="0.2">
      <c r="A2" s="3" t="s">
        <v>43</v>
      </c>
      <c r="B2" s="3" t="s">
        <v>0</v>
      </c>
      <c r="C2" s="8">
        <v>246.17</v>
      </c>
      <c r="D2" s="4">
        <v>0.8</v>
      </c>
      <c r="E2" s="9">
        <f>D2*60</f>
        <v>48</v>
      </c>
      <c r="F2" s="9" t="s">
        <v>12</v>
      </c>
      <c r="H2" s="5"/>
      <c r="I2" s="5"/>
    </row>
    <row r="3" spans="1:9" x14ac:dyDescent="0.2">
      <c r="A3" s="3" t="s">
        <v>43</v>
      </c>
      <c r="B3" s="3" t="s">
        <v>29</v>
      </c>
      <c r="C3" s="8">
        <v>496.33980000000003</v>
      </c>
      <c r="D3" s="6">
        <v>2.56</v>
      </c>
      <c r="E3" s="9">
        <f t="shared" ref="E3:E18" si="0">D3*60</f>
        <v>153.6</v>
      </c>
      <c r="F3" s="9" t="s">
        <v>48</v>
      </c>
      <c r="H3" s="5"/>
      <c r="I3" s="5"/>
    </row>
    <row r="4" spans="1:9" x14ac:dyDescent="0.2">
      <c r="A4" s="3" t="s">
        <v>43</v>
      </c>
      <c r="B4" s="3" t="s">
        <v>1</v>
      </c>
      <c r="C4" s="8">
        <v>552.40239999999994</v>
      </c>
      <c r="D4" s="6">
        <v>4.24</v>
      </c>
      <c r="E4" s="9">
        <f>D4*60</f>
        <v>254.4</v>
      </c>
      <c r="F4" s="9" t="s">
        <v>13</v>
      </c>
      <c r="H4" s="5"/>
      <c r="I4" s="5"/>
    </row>
    <row r="5" spans="1:9" x14ac:dyDescent="0.2">
      <c r="A5" s="3" t="s">
        <v>43</v>
      </c>
      <c r="B5" s="3" t="s">
        <v>30</v>
      </c>
      <c r="C5" s="8">
        <v>701.55920000000003</v>
      </c>
      <c r="D5" s="6">
        <v>6.19</v>
      </c>
      <c r="E5" s="9">
        <f>D5*60</f>
        <v>371.40000000000003</v>
      </c>
      <c r="F5" s="9" t="s">
        <v>2</v>
      </c>
      <c r="H5" s="5"/>
      <c r="I5" s="5"/>
    </row>
    <row r="6" spans="1:9" x14ac:dyDescent="0.2">
      <c r="A6" s="3" t="s">
        <v>43</v>
      </c>
      <c r="B6" s="3" t="s">
        <v>31</v>
      </c>
      <c r="C6" s="8">
        <v>758.56939999999997</v>
      </c>
      <c r="D6" s="6">
        <v>7.76</v>
      </c>
      <c r="E6" s="9">
        <f>D6*60</f>
        <v>465.59999999999997</v>
      </c>
      <c r="F6" s="9" t="s">
        <v>3</v>
      </c>
      <c r="H6" s="5"/>
      <c r="I6" s="5"/>
    </row>
    <row r="7" spans="1:9" x14ac:dyDescent="0.2">
      <c r="A7" s="3" t="s">
        <v>43</v>
      </c>
      <c r="B7" s="3" t="s">
        <v>32</v>
      </c>
      <c r="C7" s="8">
        <v>759.63879999999995</v>
      </c>
      <c r="D7" s="4">
        <v>11.43</v>
      </c>
      <c r="E7" s="9">
        <f>D7*60</f>
        <v>685.8</v>
      </c>
      <c r="F7" s="9" t="s">
        <v>44</v>
      </c>
      <c r="H7" s="5"/>
      <c r="I7" s="5"/>
    </row>
    <row r="8" spans="1:9" x14ac:dyDescent="0.2">
      <c r="A8" s="3" t="s">
        <v>43</v>
      </c>
      <c r="B8" s="3" t="s">
        <v>33</v>
      </c>
      <c r="C8" s="8">
        <v>812.69740000000002</v>
      </c>
      <c r="D8" s="6">
        <v>12.25</v>
      </c>
      <c r="E8" s="9">
        <f>D8*60</f>
        <v>735</v>
      </c>
      <c r="F8" s="9" t="s">
        <v>4</v>
      </c>
      <c r="H8" s="5"/>
      <c r="I8" s="5"/>
    </row>
    <row r="9" spans="1:9" x14ac:dyDescent="0.2">
      <c r="A9" s="3" t="s">
        <v>43</v>
      </c>
      <c r="B9" s="3" t="s">
        <v>28</v>
      </c>
      <c r="C9" s="8">
        <v>900.80150000000003</v>
      </c>
      <c r="D9" s="6">
        <v>13.97</v>
      </c>
      <c r="E9" s="9">
        <f>D9*60</f>
        <v>838.2</v>
      </c>
      <c r="F9" s="9" t="s">
        <v>5</v>
      </c>
      <c r="H9" s="5"/>
      <c r="I9" s="5"/>
    </row>
    <row r="10" spans="1:9" x14ac:dyDescent="0.2">
      <c r="A10" s="3" t="s">
        <v>43</v>
      </c>
      <c r="B10" s="3" t="s">
        <v>22</v>
      </c>
      <c r="C10" s="8">
        <v>880.83274340259902</v>
      </c>
      <c r="D10" s="6">
        <v>16.05</v>
      </c>
      <c r="E10" s="9">
        <f>D10*60</f>
        <v>963</v>
      </c>
      <c r="F10" s="9" t="s">
        <v>47</v>
      </c>
      <c r="H10" s="5"/>
      <c r="I10" s="5"/>
    </row>
    <row r="11" spans="1:9" x14ac:dyDescent="0.2">
      <c r="A11" s="3" t="s">
        <v>43</v>
      </c>
      <c r="B11" s="3" t="s">
        <v>23</v>
      </c>
      <c r="C11" s="9">
        <v>678.65070000000003</v>
      </c>
      <c r="D11" s="9">
        <v>12</v>
      </c>
      <c r="E11" s="9">
        <v>720</v>
      </c>
      <c r="F11" s="9" t="s">
        <v>24</v>
      </c>
      <c r="H11" s="5"/>
      <c r="I11" s="5"/>
    </row>
    <row r="12" spans="1:9" x14ac:dyDescent="0.2">
      <c r="A12" s="10" t="s">
        <v>10</v>
      </c>
      <c r="B12" s="10" t="s">
        <v>36</v>
      </c>
      <c r="C12" s="11">
        <v>759.58749999999998</v>
      </c>
      <c r="D12" s="12">
        <v>6.46</v>
      </c>
      <c r="E12" s="13">
        <f>D12*60</f>
        <v>387.6</v>
      </c>
      <c r="F12" s="13" t="s">
        <v>14</v>
      </c>
      <c r="H12" s="5"/>
      <c r="I12" s="5"/>
    </row>
    <row r="13" spans="1:9" x14ac:dyDescent="0.2">
      <c r="A13" s="10" t="s">
        <v>10</v>
      </c>
      <c r="B13" s="10" t="s">
        <v>37</v>
      </c>
      <c r="C13" s="11">
        <v>738.64700000000005</v>
      </c>
      <c r="D13" s="12">
        <v>7.2709999999999999</v>
      </c>
      <c r="E13" s="13">
        <f>D13*60</f>
        <v>436.26</v>
      </c>
      <c r="F13" s="13" t="s">
        <v>15</v>
      </c>
      <c r="H13" s="5"/>
      <c r="I13" s="5"/>
    </row>
    <row r="14" spans="1:9" x14ac:dyDescent="0.2">
      <c r="A14" s="10" t="s">
        <v>10</v>
      </c>
      <c r="B14" s="10" t="s">
        <v>38</v>
      </c>
      <c r="C14" s="11">
        <v>753.61339999999996</v>
      </c>
      <c r="D14" s="12">
        <v>8.1709999999999994</v>
      </c>
      <c r="E14" s="13">
        <f>D14*60</f>
        <v>490.26</v>
      </c>
      <c r="F14" s="13" t="s">
        <v>16</v>
      </c>
      <c r="H14" s="5"/>
      <c r="I14" s="5"/>
    </row>
    <row r="15" spans="1:9" x14ac:dyDescent="0.2">
      <c r="A15" s="10" t="s">
        <v>10</v>
      </c>
      <c r="B15" s="10" t="s">
        <v>39</v>
      </c>
      <c r="C15" s="11">
        <v>711.56640000000004</v>
      </c>
      <c r="D15" s="12">
        <v>8.5030000000000001</v>
      </c>
      <c r="E15" s="13">
        <f>D15*60</f>
        <v>510.18</v>
      </c>
      <c r="F15" s="13" t="s">
        <v>17</v>
      </c>
      <c r="H15" s="5"/>
      <c r="I15" s="5"/>
    </row>
    <row r="16" spans="1:9" x14ac:dyDescent="0.2">
      <c r="A16" s="10" t="s">
        <v>10</v>
      </c>
      <c r="B16" s="10" t="s">
        <v>40</v>
      </c>
      <c r="C16" s="11">
        <v>605.58439999999996</v>
      </c>
      <c r="D16" s="12">
        <v>11.68</v>
      </c>
      <c r="E16" s="13">
        <f>D16*60</f>
        <v>700.8</v>
      </c>
      <c r="F16" s="13" t="s">
        <v>18</v>
      </c>
      <c r="H16" s="5"/>
      <c r="I16" s="5"/>
    </row>
    <row r="17" spans="1:9" x14ac:dyDescent="0.2">
      <c r="A17" s="10" t="s">
        <v>10</v>
      </c>
      <c r="B17" s="10" t="s">
        <v>41</v>
      </c>
      <c r="C17" s="11">
        <v>829.79849999999999</v>
      </c>
      <c r="D17" s="12">
        <v>13.997999999999999</v>
      </c>
      <c r="E17" s="13">
        <f t="shared" si="0"/>
        <v>839.88</v>
      </c>
      <c r="F17" s="13" t="s">
        <v>19</v>
      </c>
      <c r="H17" s="5"/>
      <c r="I17" s="5"/>
    </row>
    <row r="18" spans="1:9" x14ac:dyDescent="0.2">
      <c r="A18" s="10" t="s">
        <v>10</v>
      </c>
      <c r="B18" s="10" t="s">
        <v>42</v>
      </c>
      <c r="C18" s="11">
        <v>675.67790000000002</v>
      </c>
      <c r="D18" s="12">
        <v>15.46</v>
      </c>
      <c r="E18" s="13">
        <f t="shared" si="0"/>
        <v>927.6</v>
      </c>
      <c r="F18" s="13" t="s">
        <v>20</v>
      </c>
      <c r="H18" s="5"/>
      <c r="I18" s="5"/>
    </row>
    <row r="19" spans="1:9" x14ac:dyDescent="0.2">
      <c r="A19" s="10" t="s">
        <v>10</v>
      </c>
      <c r="B19" s="10" t="s">
        <v>34</v>
      </c>
      <c r="C19" s="11">
        <v>529.39940000000001</v>
      </c>
      <c r="D19" s="12">
        <v>2.7429999999999999</v>
      </c>
      <c r="E19" s="13">
        <f>D19*60</f>
        <v>164.57999999999998</v>
      </c>
      <c r="F19" s="13" t="s">
        <v>45</v>
      </c>
    </row>
    <row r="20" spans="1:9" x14ac:dyDescent="0.2">
      <c r="A20" s="10" t="s">
        <v>10</v>
      </c>
      <c r="B20" s="10" t="s">
        <v>35</v>
      </c>
      <c r="C20" s="11">
        <v>487.35239999999999</v>
      </c>
      <c r="D20" s="12">
        <v>2.8479999999999999</v>
      </c>
      <c r="E20" s="13">
        <f>D20*60</f>
        <v>170.88</v>
      </c>
      <c r="F20" s="13" t="s">
        <v>46</v>
      </c>
    </row>
    <row r="21" spans="1:9" x14ac:dyDescent="0.2">
      <c r="A21" s="3" t="s">
        <v>25</v>
      </c>
      <c r="B21" s="3" t="s">
        <v>26</v>
      </c>
      <c r="C21" s="9">
        <v>288.28969999999998</v>
      </c>
      <c r="D21" s="9">
        <v>1.99</v>
      </c>
      <c r="E21" s="9">
        <v>119.4</v>
      </c>
      <c r="F21" s="9" t="s">
        <v>27</v>
      </c>
    </row>
  </sheetData>
  <conditionalFormatting sqref="F1:F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Londono Osorio</dc:creator>
  <cp:lastModifiedBy>Sara Londoño Osorio</cp:lastModifiedBy>
  <dcterms:created xsi:type="dcterms:W3CDTF">2025-09-04T13:08:57Z</dcterms:created>
  <dcterms:modified xsi:type="dcterms:W3CDTF">2026-06-09T20:25:39Z</dcterms:modified>
</cp:coreProperties>
</file>